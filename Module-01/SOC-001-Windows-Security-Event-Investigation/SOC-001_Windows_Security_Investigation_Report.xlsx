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02b0733ca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 Summary" sheetId="1" r:id="R26966eaaecc2432f"/>
    <x:sheet xmlns:r="http://schemas.openxmlformats.org/officeDocument/2006/relationships" name="Event Evidence" sheetId="2" r:id="R43f94c9e181849db"/>
    <x:sheet xmlns:r="http://schemas.openxmlformats.org/officeDocument/2006/relationships" name="Actions &amp; Decisions" sheetId="3" r:id="R737797c6a0d84b97"/>
    <x:sheet xmlns:r="http://schemas.openxmlformats.org/officeDocument/2006/relationships" name="References" sheetId="4" r:id="R9a79ff91b5724a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7"/>
      <x:color rgb="FFFFFFFF"/>
      <x:name val="Carlito"/>
    </x:font>
    <x:font>
      <x:i/>
      <x:sz val="11"/>
      <x:color rgb="FF14253D"/>
      <x:name val="Carlito"/>
    </x:font>
    <x:font>
      <x:b/>
      <x:sz val="11"/>
      <x:name val="Carlito"/>
    </x:font>
    <x:font>
      <x:b/>
      <x:sz val="11"/>
      <x:color rgb="FF14253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53D"/>
      </x:patternFill>
    </x:fill>
    <x:fill>
      <x:patternFill patternType="solid">
        <x:fgColor rgb="FFEAF4F5"/>
      </x:patternFill>
    </x:fill>
    <x:fill>
      <x:patternFill patternType="solid">
        <x:fgColor rgb="FF087F8C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43ba30bba748b1" /><Relationship Type="http://schemas.openxmlformats.org/officeDocument/2006/relationships/theme" Target="/xl/theme/theme1.xml" Id="Raae4205b24ce4187" /><Relationship Type="http://schemas.openxmlformats.org/officeDocument/2006/relationships/sharedStrings" Target="/xl/sharedStrings.xml" Id="Rbe55333e734d4fe1" /><Relationship Type="http://schemas.openxmlformats.org/officeDocument/2006/relationships/worksheet" Target="/xl/worksheets/sheet1.xml" Id="R26966eaaecc2432f" /><Relationship Type="http://schemas.openxmlformats.org/officeDocument/2006/relationships/worksheet" Target="/xl/worksheets/sheet2.xml" Id="R43f94c9e181849db" /><Relationship Type="http://schemas.openxmlformats.org/officeDocument/2006/relationships/worksheet" Target="/xl/worksheets/sheet3.xml" Id="R737797c6a0d84b97" /><Relationship Type="http://schemas.openxmlformats.org/officeDocument/2006/relationships/worksheet" Target="/xl/worksheets/sheet4.xml" Id="R9a79ff91b5724a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7" hidden="0" customWidth="1"/>
    <x:col min="3" max="3" width="23" hidden="0" customWidth="1"/>
    <x:col min="4" max="4" width="27" hidden="0" customWidth="1"/>
    <x:col min="5" max="5" width="22" hidden="0" customWidth="1"/>
    <x:col min="6" max="6" width="35" hidden="0" customWidth="1"/>
  </x:cols>
  <x:sheetData>
    <x:row r="1" ht="25" customHeight="1">
      <x:c r="A1" s="25" t="str">
        <x:v>SOC-001 | Windows Security Event Investigation</x:v>
      </x:c>
      <x:c r="B1" s="25"/>
      <x:c r="C1" s="25"/>
      <x:c r="D1" s="25"/>
      <x:c r="E1" s="25"/>
      <x:c r="F1" s="25"/>
    </x:row>
    <x:row r="2" ht="25" customHeight="1">
      <x:c r="A2" s="25"/>
      <x:c r="B2" s="25"/>
      <x:c r="C2" s="25"/>
      <x:c r="D2" s="25"/>
      <x:c r="E2" s="25"/>
      <x:c r="F2" s="25"/>
    </x:row>
    <x:row r="3" ht="28" customHeight="1">
      <x:c r="A3" s="26" t="str">
        <x:v>Module 01 · SOC Tier 1 portfolio investigation · 27 October 2026</x:v>
      </x:c>
      <x:c r="B3" s="26"/>
      <x:c r="C3" s="26"/>
      <x:c r="D3" s="26"/>
      <x:c r="E3" s="26"/>
      <x:c r="F3" s="26"/>
    </x:row>
    <x:row r="4">
      <x:c r="A4" s="12"/>
      <x:c r="B4" s="12"/>
      <x:c r="C4" s="12"/>
      <x:c r="D4" s="12"/>
      <x:c r="E4" s="12"/>
      <x:c r="F4" s="12"/>
    </x:row>
    <x:row r="5" ht="40" customHeight="1">
      <x:c r="A5" s="16" t="str">
        <x:v>Case ID</x:v>
      </x:c>
      <x:c r="B5" s="12" t="str">
        <x:v>SOC-001</x:v>
      </x:c>
      <x:c r="C5" s="16" t="str">
        <x:v>Report type</x:v>
      </x:c>
      <x:c r="D5" s="12" t="str">
        <x:v>SOC Tier 1 investigation</x:v>
      </x:c>
      <x:c r="E5" s="16" t="str">
        <x:v>Status</x:v>
      </x:c>
      <x:c r="F5" s="12" t="str">
        <x:v>Core review completed; quality checks pending</x:v>
      </x:c>
    </x:row>
    <x:row r="6" ht="40" customHeight="1">
      <x:c r="A6" s="16" t="str">
        <x:v>Environment</x:v>
      </x:c>
      <x:c r="B6" s="12" t="str">
        <x:v>Windows 11 endpoint</x:v>
      </x:c>
      <x:c r="C6" s="16" t="str">
        <x:v>Source</x:v>
      </x:c>
      <x:c r="D6" s="12" t="str">
        <x:v>Windows Security log</x:v>
      </x:c>
      <x:c r="E6" s="16" t="str">
        <x:v>Investigation date</x:v>
      </x:c>
      <x:c r="F6" s="12" t="str">
        <x:v>27 October 2026</x:v>
      </x:c>
    </x:row>
    <x:row r="7" ht="40" customHeight="1">
      <x:c r="A7" s="16" t="str">
        <x:v>Alert origin</x:v>
      </x:c>
      <x:c r="B7" s="12" t="str">
        <x:v>Manual baseline review</x:v>
      </x:c>
      <x:c r="C7" s="16" t="str">
        <x:v>Confirmed incident?</x:v>
      </x:c>
      <x:c r="D7" s="12" t="str">
        <x:v>No</x:v>
      </x:c>
      <x:c r="E7" s="16" t="str">
        <x:v>Escalation</x:v>
      </x:c>
      <x:c r="F7" s="12" t="str">
        <x:v>Not indicated by reviewed evidence</x:v>
      </x:c>
    </x:row>
    <x:row r="8" ht="40" customHeight="1">
      <x:c r="A8" s="16" t="str">
        <x:v>Severity</x:v>
      </x:c>
      <x:c r="B8" s="12" t="str">
        <x:v>Informational (training)</x:v>
      </x:c>
      <x:c r="C8" s="16" t="str">
        <x:v>Evidence confidence</x:v>
      </x:c>
      <x:c r="D8" s="12" t="str">
        <x:v>Partial</x:v>
      </x:c>
      <x:c r="E8" s="16" t="str">
        <x:v>Analyst decision</x:v>
      </x:c>
      <x:c r="F8" s="12" t="str">
        <x:v>Continue validation</x:v>
      </x:c>
    </x:row>
    <x:row r="9" ht="40" customHeight="1">
      <x:c r="A9" s="16" t="str">
        <x:v>Observed activity</x:v>
      </x:c>
      <x:c r="B9" s="12" t="str">
        <x:v>Routine-looking SYSTEM service logon; privileged-logon records</x:v>
      </x:c>
      <x:c r="C9" s="16" t="str"/>
      <x:c r="D9" s="12"/>
      <x:c r="E9" s="16" t="str"/>
      <x:c r="F9" s="12"/>
    </x:row>
    <x:row r="10" ht="40" customHeight="1">
      <x:c r="A10" s="16" t="str">
        <x:v>Primary finding</x:v>
      </x:c>
      <x:c r="B10" s="12" t="str">
        <x:v>4624 Type 5: SYSTEM / NT AUTHORITY, Logon ID 0x3E7, elevated token</x:v>
      </x:c>
      <x:c r="C10" s="16" t="str"/>
      <x:c r="D10" s="12"/>
      <x:c r="E10" s="16" t="str"/>
      <x:c r="F10" s="12"/>
    </x:row>
    <x:row r="11" ht="40" customHeight="1">
      <x:c r="A11" s="16" t="str">
        <x:v>Additional finding</x:v>
      </x:c>
      <x:c r="B11" s="12" t="str">
        <x:v>4672: special privileges assigned to SYSTEM, Logon ID 0x3E7</x:v>
      </x:c>
      <x:c r="C11" s="16" t="str"/>
      <x:c r="D11" s="12"/>
      <x:c r="E11" s="16" t="str"/>
      <x:c r="F11" s="12"/>
    </x:row>
    <x:row r="12" ht="40" customHeight="1">
      <x:c r="A12" s="16" t="str">
        <x:v>Failed logon check</x:v>
      </x:c>
      <x:c r="B12" s="12" t="str">
        <x:v>PowerShell whole-retained-log query for ID 4625 returned NoMatchingEventsFound; GUI filter was restricted</x:v>
      </x:c>
      <x:c r="C12" s="16" t="str"/>
      <x:c r="D12" s="12"/>
      <x:c r="E12" s="16" t="str"/>
      <x:c r="F12" s="12"/>
    </x:row>
    <x:row r="13" ht="40" customHeight="1">
      <x:c r="A13" s="16" t="str">
        <x:v>Assessment</x:v>
      </x:c>
      <x:c r="B13" s="12" t="str">
        <x:v>No malicious behaviour established from the records reviewed. No confirmed security incident.</x:v>
      </x:c>
      <x:c r="C13" s="16" t="str"/>
      <x:c r="D13" s="12"/>
      <x:c r="E13" s="16" t="str"/>
      <x:c r="F13" s="12"/>
    </x:row>
    <x:row r="14" ht="40" customHeight="1">
      <x:c r="A14" s="16" t="str">
        <x:v>Limitations</x:v>
      </x:c>
      <x:c r="B14" s="12" t="str">
        <x:v>4625 absence limited to retained log; final output supplied as text; initiating service and event correlation unverified</x:v>
      </x:c>
      <x:c r="C14" s="16" t="str"/>
      <x:c r="D14" s="12"/>
      <x:c r="E14" s="16" t="str"/>
      <x:c r="F14" s="12"/>
    </x:row>
    <x:row r="15" ht="40" customHeight="1">
      <x:c r="A15" s="16" t="str">
        <x:v>Next action</x:v>
      </x:c>
      <x:c r="B15" s="12" t="str">
        <x:v>Review interactive logon and screenshot redactions; correlate event details if needed</x:v>
      </x:c>
      <x:c r="C15" s="16" t="str"/>
      <x:c r="D15" s="12"/>
      <x:c r="E15" s="16" t="str"/>
      <x:c r="F15" s="12"/>
    </x:row>
    <x:row r="16">
      <x:c r="A16" s="12"/>
      <x:c r="B16" s="12"/>
      <x:c r="C16" s="12"/>
      <x:c r="D16" s="12"/>
      <x:c r="E16" s="12"/>
      <x:c r="F16" s="12"/>
    </x:row>
    <x:row r="17" ht="34" customHeight="1">
      <x:c r="A17" s="27" t="str">
        <x:v>Disposition</x:v>
      </x:c>
      <x:c r="B17" s="27" t="str">
        <x:v>No confirmed compromise</x:v>
      </x:c>
      <x:c r="C17" s="27" t="str">
        <x:v>Closure eligibility</x:v>
      </x:c>
      <x:c r="D17" s="27" t="str">
        <x:v>After outstanding quality checks</x:v>
      </x:c>
      <x:c r="E17" s="27" t="str">
        <x:v>Case owner</x:v>
      </x:c>
      <x:c r="F17" s="27" t="str">
        <x:v>Training lab</x:v>
      </x:c>
    </x:row>
    <x:row r="18">
      <x:c r="A18" s="12"/>
      <x:c r="B18" s="12"/>
      <x:c r="C18" s="12"/>
      <x:c r="D18" s="12"/>
      <x:c r="E18" s="12"/>
      <x:c r="F18" s="12"/>
    </x:row>
    <x:row r="19" ht="36" customHeight="1">
      <x:c r="A19" s="12" t="str">
        <x:v>Important</x:v>
      </x:c>
      <x:c r="B19" s="12" t="str">
        <x:v>This is a baseline investigation, not a confirmed malware, phishing or brute-force incident.</x:v>
      </x:c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</x:sheetData>
  <x:mergeCells>
    <x:mergeCell ref="A1:F2"/>
    <x:mergeCell ref="A3:F3"/>
    <x:mergeCell ref="B9:F9"/>
    <x:mergeCell ref="B10:F10"/>
    <x:mergeCell ref="B11:F11"/>
    <x:mergeCell ref="B12:F12"/>
    <x:mergeCell ref="B13:F13"/>
    <x:mergeCell ref="B14:F14"/>
    <x:mergeCell ref="B15:F15"/>
    <x:mergeCell ref="B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26" hidden="0" customWidth="1"/>
    <x:col min="4" max="4" width="27" hidden="0" customWidth="1"/>
    <x:col min="5" max="5" width="36" hidden="0" customWidth="1"/>
    <x:col min="6" max="6" width="53" hidden="0" customWidth="1"/>
  </x:cols>
  <x:sheetData>
    <x:row r="1" ht="25" customHeight="1">
      <x:c r="A1" s="25" t="str">
        <x:v>Evidence register</x:v>
      </x:c>
      <x:c r="B1" s="25"/>
      <x:c r="C1" s="25"/>
      <x:c r="D1" s="25"/>
      <x:c r="E1" s="25"/>
      <x:c r="F1" s="25"/>
    </x:row>
    <x:row r="2" ht="25" customHeight="1">
      <x:c r="A2" s="25"/>
      <x:c r="B2" s="25"/>
      <x:c r="C2" s="25"/>
      <x:c r="D2" s="25"/>
      <x:c r="E2" s="25"/>
      <x:c r="F2" s="25"/>
    </x:row>
    <x:row r="3" ht="28" customHeight="1">
      <x:c r="A3" s="26" t="str">
        <x:v>Observed fields are separated from conclusions. Image paths refer to the existing GitHub repository.</x:v>
      </x:c>
      <x:c r="B3" s="26"/>
      <x:c r="C3" s="26"/>
      <x:c r="D3" s="26"/>
      <x:c r="E3" s="26"/>
      <x:c r="F3" s="26"/>
    </x:row>
    <x:row r="4">
      <x:c r="A4" s="12"/>
      <x:c r="B4" s="12"/>
      <x:c r="C4" s="12"/>
      <x:c r="D4" s="12"/>
      <x:c r="E4" s="12"/>
      <x:c r="F4" s="12"/>
    </x:row>
    <x:row r="5" ht="30" customHeight="1">
      <x:c r="A5" s="28" t="str">
        <x:v>Evidence ID</x:v>
      </x:c>
      <x:c r="B5" s="28" t="str">
        <x:v>Event / source</x:v>
      </x:c>
      <x:c r="C5" s="28" t="str">
        <x:v>Account / logon</x:v>
      </x:c>
      <x:c r="D5" s="28" t="str">
        <x:v>Date / ID</x:v>
      </x:c>
      <x:c r="E5" s="28" t="str">
        <x:v>Observation</x:v>
      </x:c>
      <x:c r="F5" s="28" t="str">
        <x:v>Interpretation and evidence link</x:v>
      </x:c>
    </x:row>
    <x:row r="6" ht="72" customHeight="1">
      <x:c r="A6" s="12" t="str">
        <x:v>EV-01</x:v>
      </x:c>
      <x:c r="B6" s="12" t="str">
        <x:v>4624 — successful logon</x:v>
      </x:c>
      <x:c r="C6" s="12" t="str">
        <x:v>NT AUTHORITY\SYSTEM</x:v>
      </x:c>
      <x:c r="D6" s="12" t="str">
        <x:v>2026-10-27 12:35:22 / 0x3E7</x:v>
      </x:c>
      <x:c r="E6" s="12" t="str">
        <x:v>Logon Type 5 (service); elevated token Yes</x:v>
      </x:c>
      <x:c r="F6" s="12" t="str">
        <x:v>Service logon; initiating service unverified. Module-01/images/17_Event_4624_Logon_Type_5.png</x:v>
      </x:c>
    </x:row>
    <x:row r="7" ht="72" customHeight="1">
      <x:c r="A7" s="12" t="str">
        <x:v>EV-02</x:v>
      </x:c>
      <x:c r="B7" s="12" t="str">
        <x:v>4672 — privileges assigned</x:v>
      </x:c>
      <x:c r="C7" s="12" t="str">
        <x:v>NT AUTHORITY\SYSTEM</x:v>
      </x:c>
      <x:c r="D7" s="12" t="str">
        <x:v>Logon ID 0x3E7</x:v>
      </x:c>
      <x:c r="E7" s="12" t="str">
        <x:v>Special privileges recorded; SeTcbPrivilege and SeSecurityPrivilege among those shown</x:v>
      </x:c>
      <x:c r="F7" s="12" t="str">
        <x:v>Privileged SYSTEM activity alone is not malicious. Module-01/Module-01.2/08_Event_4672_Filtered_Results.png</x:v>
      </x:c>
    </x:row>
    <x:row r="8" ht="72" customHeight="1">
      <x:c r="A8" s="12" t="str">
        <x:v>EV-03</x:v>
      </x:c>
      <x:c r="B8" s="12" t="str">
        <x:v>4625 — failed logon</x:v>
      </x:c>
      <x:c r="C8" s="12" t="str">
        <x:v>Not established</x:v>
      </x:c>
      <x:c r="D8" s="12" t="str">
        <x:v>Initial Event Viewer filter</x:v>
      </x:c>
      <x:c r="E8" s="12" t="str">
        <x:v>Initial GUI view restricted; independent PowerShell 4625 query returned NoMatchingEventsFound</x:v>
      </x:c>
      <x:c r="F8" s="12" t="str">
        <x:v>No matching events in retained Security log at query time; final output provided separately as text. Module-01/Module-01.3/README.md</x:v>
      </x:c>
    </x:row>
    <x:row r="9" ht="72" customHeight="1">
      <x:c r="A9" s="12" t="str">
        <x:v>EV-04</x:v>
      </x:c>
      <x:c r="B9" s="12" t="str">
        <x:v>PowerShell Get-WinEvent</x:v>
      </x:c>
      <x:c r="C9" s="12" t="str">
        <x:v>Mixed 4624 / 4672</x:v>
      </x:c>
      <x:c r="D9" s="12" t="str">
        <x:v>Latest 30 matching events</x:v>
      </x:c>
      <x:c r="E9" s="12" t="str">
        <x:v>Returned 4624 and 4672; no 4625 in that 30-event sample</x:v>
      </x:c>
      <x:c r="F9" s="12" t="str">
        <x:v>Limited 30-event sample; see separate 4625 verification. Module-01/03_Security_Event_Results_4624_4672.png</x:v>
      </x:c>
    </x:row>
    <x:row r="10" ht="72" customHeight="1">
      <x:c r="A10" s="12" t="str">
        <x:v>EV-05</x:v>
      </x:c>
      <x:c r="B10" s="12" t="str">
        <x:v>4624 / 4672 correlation</x:v>
      </x:c>
      <x:c r="C10" s="12" t="str">
        <x:v>SYSTEM / 0x3E7</x:v>
      </x:c>
      <x:c r="D10" s="12" t="str">
        <x:v>Multiple timestamps</x:v>
      </x:c>
      <x:c r="E10" s="12" t="str">
        <x:v>Possible related events observed</x:v>
      </x:c>
      <x:c r="F10" s="12" t="str">
        <x:v>Correlation unverified; Module-01/Module-01.2/README.md</x:v>
      </x:c>
    </x:row>
    <x:row r="11">
      <x:c r="A11" s="12"/>
      <x:c r="B11" s="12"/>
      <x:c r="C11" s="12"/>
      <x:c r="D11" s="12"/>
      <x:c r="E11" s="12"/>
      <x:c r="F11" s="12"/>
    </x:row>
    <x:row r="12">
      <x:c r="A12" s="12"/>
      <x:c r="B12" s="12"/>
      <x:c r="C12" s="12"/>
      <x:c r="D12" s="12"/>
      <x:c r="E12" s="12"/>
      <x:c r="F12" s="12"/>
    </x:row>
    <x:row r="13">
      <x:c r="A13" s="12"/>
      <x:c r="B13" s="12"/>
      <x:c r="C13" s="12"/>
      <x:c r="D13" s="12"/>
      <x:c r="E13" s="12"/>
      <x:c r="F13" s="12"/>
    </x:row>
    <x:row r="14">
      <x:c r="A14" s="12"/>
      <x:c r="B14" s="12"/>
      <x:c r="C14" s="12"/>
      <x:c r="D14" s="12"/>
      <x:c r="E14" s="12"/>
      <x:c r="F14" s="12"/>
    </x:row>
    <x:row r="15">
      <x:c r="A15" s="12"/>
      <x:c r="B15" s="12"/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  <x:row r="17">
      <x:c r="A17" s="12"/>
      <x:c r="B17" s="12"/>
      <x:c r="C17" s="12"/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</x:sheetData>
  <x:mergeCells>
    <x:mergeCell ref="A1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42" hidden="0" customWidth="1"/>
    <x:col min="3" max="3" width="23" hidden="0" customWidth="1"/>
    <x:col min="4" max="4" width="24" hidden="0" customWidth="1"/>
    <x:col min="5" max="5" width="35" hidden="0" customWidth="1"/>
    <x:col min="6" max="6" width="39" hidden="0" customWidth="1"/>
    <x:col min="8" max="8" width="19" hidden="0" customWidth="1"/>
    <x:col min="9" max="9" width="19" hidden="0" customWidth="1"/>
  </x:cols>
  <x:sheetData>
    <x:row r="1" ht="25" customHeight="1">
      <x:c r="A1" s="25" t="str">
        <x:v>SOC triage and outstanding checks</x:v>
      </x:c>
      <x:c r="B1" s="25"/>
      <x:c r="C1" s="25"/>
      <x:c r="D1" s="25"/>
      <x:c r="E1" s="25"/>
      <x:c r="F1" s="25"/>
    </x:row>
    <x:row r="2" ht="25" customHeight="1">
      <x:c r="A2" s="25"/>
      <x:c r="B2" s="25"/>
      <x:c r="C2" s="25"/>
      <x:c r="D2" s="25"/>
      <x:c r="E2" s="25"/>
      <x:c r="F2" s="25"/>
    </x:row>
    <x:row r="3" ht="28" customHeight="1">
      <x:c r="A3" s="26" t="str">
        <x:v>Core event investigations complete; remaining actions are evidence quality and optional correlation checks.</x:v>
      </x:c>
      <x:c r="B3" s="26"/>
      <x:c r="C3" s="26"/>
      <x:c r="D3" s="26"/>
      <x:c r="E3" s="26"/>
      <x:c r="F3" s="26"/>
    </x:row>
    <x:row r="4">
      <x:c r="A4" s="12"/>
      <x:c r="B4" s="12"/>
      <x:c r="C4" s="12"/>
      <x:c r="D4" s="12"/>
      <x:c r="E4" s="12"/>
      <x:c r="F4" s="12"/>
    </x:row>
    <x:row r="5">
      <x:c r="A5" s="28" t="str">
        <x:v>Step</x:v>
      </x:c>
      <x:c r="B5" s="28" t="str">
        <x:v>Action</x:v>
      </x:c>
      <x:c r="C5" s="28" t="str">
        <x:v>Status</x:v>
      </x:c>
      <x:c r="D5" s="28" t="str">
        <x:v>Priority</x:v>
      </x:c>
      <x:c r="E5" s="28" t="str">
        <x:v>Reason</x:v>
      </x:c>
      <x:c r="F5" s="28" t="str">
        <x:v>Expected evidence</x:v>
      </x:c>
      <x:c r="H5" t="str">
        <x:v>Completed</x:v>
      </x:c>
      <x:c r="I5" t="n">
        <x:f>COUNTIF(C6:C14,"Completed")</x:f>
        <x:v>5</x:v>
      </x:c>
    </x:row>
    <x:row r="6" ht="45" customHeight="1">
      <x:c r="A6" s="12" t="str">
        <x:v>01</x:v>
      </x:c>
      <x:c r="B6" s="12" t="str">
        <x:v>Open Security log and review baseline</x:v>
      </x:c>
      <x:c r="C6" s="12" t="str">
        <x:v>Completed</x:v>
      </x:c>
      <x:c r="D6" s="12" t="str">
        <x:v>Normal</x:v>
      </x:c>
      <x:c r="E6" s="12" t="str">
        <x:v>Establish normal activity</x:v>
      </x:c>
      <x:c r="F6" s="12" t="str">
        <x:v>Event Viewer screenshots</x:v>
      </x:c>
      <x:c r="H6" t="str">
        <x:v>Outstanding</x:v>
      </x:c>
      <x:c r="I6" t="n">
        <x:f>COUNTIF(C6:C14,"Pending")+COUNTIF(C6:C14,"In progress")+COUNTIF(C6:C14,"Blocked")</x:f>
        <x:v>4</x:v>
      </x:c>
    </x:row>
    <x:row r="7" ht="45" customHeight="1">
      <x:c r="A7" s="12" t="str">
        <x:v>02</x:v>
      </x:c>
      <x:c r="B7" s="12" t="str">
        <x:v>Inspect Event ID 4672</x:v>
      </x:c>
      <x:c r="C7" s="12" t="str">
        <x:v>Completed</x:v>
      </x:c>
      <x:c r="D7" s="12" t="str">
        <x:v>Normal</x:v>
      </x:c>
      <x:c r="E7" s="12" t="str">
        <x:v>Identify privileged-logon records</x:v>
      </x:c>
      <x:c r="F7" s="12" t="str">
        <x:v>Day 1.2 screenshots</x:v>
      </x:c>
    </x:row>
    <x:row r="8" ht="45" customHeight="1">
      <x:c r="A8" s="12" t="str">
        <x:v>03</x:v>
      </x:c>
      <x:c r="B8" s="12" t="str">
        <x:v>Inspect Event ID 4624 Type 5</x:v>
      </x:c>
      <x:c r="C8" s="12" t="str">
        <x:v>Completed</x:v>
      </x:c>
      <x:c r="D8" s="12" t="str">
        <x:v>Normal</x:v>
      </x:c>
      <x:c r="E8" s="12" t="str">
        <x:v>Review service logon and SYSTEM account</x:v>
      </x:c>
      <x:c r="F8" s="12" t="str">
        <x:v>Day 1.4 screenshots</x:v>
      </x:c>
    </x:row>
    <x:row r="9" ht="45" customHeight="1">
      <x:c r="A9" s="12" t="str">
        <x:v>04</x:v>
      </x:c>
      <x:c r="B9" s="12" t="str">
        <x:v>Query recent events with PowerShell</x:v>
      </x:c>
      <x:c r="C9" s="12" t="str">
        <x:v>Completed</x:v>
      </x:c>
      <x:c r="D9" s="12" t="str">
        <x:v>Normal</x:v>
      </x:c>
      <x:c r="E9" s="12" t="str">
        <x:v>Cross-check GUI findings</x:v>
      </x:c>
      <x:c r="F9" s="12" t="str">
        <x:v>Third PowerShell screenshot</x:v>
      </x:c>
    </x:row>
    <x:row r="10" ht="45" customHeight="1">
      <x:c r="A10" s="12" t="str">
        <x:v>05</x:v>
      </x:c>
      <x:c r="B10" s="12" t="str">
        <x:v>Verify 4625 independently with unrestricted PowerShell query</x:v>
      </x:c>
      <x:c r="C10" s="12" t="str">
        <x:v>Completed</x:v>
      </x:c>
      <x:c r="D10" s="12" t="str">
        <x:v>High</x:v>
      </x:c>
      <x:c r="E10" s="12" t="str">
        <x:v>NoMatchingEventsFound in retained log; not proof of historical absence</x:v>
      </x:c>
      <x:c r="F10" s="12" t="str">
        <x:v>Module 1.3 screenshots and investigator-provided PowerShell output</x:v>
      </x:c>
    </x:row>
    <x:row r="11" ht="45" customHeight="1">
      <x:c r="A11" s="12" t="str">
        <x:v>06</x:v>
      </x:c>
      <x:c r="B11" s="12" t="str">
        <x:v>Review 4624 Type 2 or Type 7</x:v>
      </x:c>
      <x:c r="C11" s="12" t="str">
        <x:v>Pending</x:v>
      </x:c>
      <x:c r="D11" s="12" t="str">
        <x:v>Medium</x:v>
      </x:c>
      <x:c r="E11" s="12" t="str">
        <x:v>Establish interactive or unlock baseline</x:v>
      </x:c>
      <x:c r="F11" s="12" t="str">
        <x:v>Event detail screenshot</x:v>
      </x:c>
    </x:row>
    <x:row r="12" ht="45" customHeight="1">
      <x:c r="A12" s="12" t="str">
        <x:v>07</x:v>
      </x:c>
      <x:c r="B12" s="12" t="str">
        <x:v>Correlate 4624 and 4672 on account and Logon ID</x:v>
      </x:c>
      <x:c r="C12" s="12" t="str">
        <x:v>Pending</x:v>
      </x:c>
      <x:c r="D12" s="12" t="str">
        <x:v>Medium</x:v>
      </x:c>
      <x:c r="E12" s="12" t="str">
        <x:v>Verify association rather than timestamp coincidence</x:v>
      </x:c>
      <x:c r="F12" s="12" t="str">
        <x:v>Recorded matching fields</x:v>
      </x:c>
    </x:row>
    <x:row r="13" ht="45" customHeight="1">
      <x:c r="A13" s="12" t="str">
        <x:v>08</x:v>
      </x:c>
      <x:c r="B13" s="12" t="str">
        <x:v>Review screenshots for sensitive identifiers</x:v>
      </x:c>
      <x:c r="C13" s="12" t="str">
        <x:v>Pending</x:v>
      </x:c>
      <x:c r="D13" s="12" t="str">
        <x:v>Medium</x:v>
      </x:c>
      <x:c r="E13" s="12" t="str">
        <x:v>Safe public portfolio publication</x:v>
      </x:c>
      <x:c r="F13" s="12" t="str">
        <x:v>Redaction review</x:v>
      </x:c>
    </x:row>
    <x:row r="14" ht="45" customHeight="1">
      <x:c r="A14" s="12" t="str">
        <x:v>09</x:v>
      </x:c>
      <x:c r="B14" s="12" t="str">
        <x:v>Final quality review and sign-off for Module 01</x:v>
      </x:c>
      <x:c r="C14" s="12" t="str">
        <x:v>Pending</x:v>
      </x:c>
      <x:c r="D14" s="12" t="str">
        <x:v>High</x:v>
      </x:c>
      <x:c r="E14" s="12" t="str">
        <x:v>Do not prematurely close incomplete case</x:v>
      </x:c>
      <x:c r="F14" s="12" t="str">
        <x:v>Signed-off final investigation summary</x:v>
      </x:c>
    </x:row>
    <x:row r="15">
      <x:c r="A15" s="12"/>
      <x:c r="B15" s="12"/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  <x:row r="17">
      <x:c r="A17" s="12"/>
      <x:c r="B17" s="12"/>
      <x:c r="C17" s="12"/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</x:sheetData>
  <x:mergeCells>
    <x:mergeCell ref="A1:F2"/>
    <x:mergeCell ref="A3:F3"/>
  </x:mergeCells>
  <x:dataValidations count="1">
    <x:dataValidation type="list" sqref="C6:C14">
      <x:formula1>"Completed,Pending,In progress,Blocked"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58" hidden="0" customWidth="1"/>
    <x:col min="3" max="3" width="65" hidden="0" customWidth="1"/>
    <x:col min="4" max="4" width="18" hidden="0" customWidth="1"/>
    <x:col min="5" max="5" width="15" hidden="0" customWidth="1"/>
    <x:col min="6" max="6" width="15" hidden="0" customWidth="1"/>
  </x:cols>
  <x:sheetData>
    <x:row r="1" ht="25" customHeight="1">
      <x:c r="A1" s="25" t="str">
        <x:v>References and methodology</x:v>
      </x:c>
      <x:c r="B1" s="25"/>
      <x:c r="C1" s="25"/>
      <x:c r="D1" s="25"/>
      <x:c r="E1" s="25"/>
      <x:c r="F1" s="25"/>
    </x:row>
    <x:row r="2" ht="25" customHeight="1">
      <x:c r="A2" s="25"/>
      <x:c r="B2" s="25"/>
      <x:c r="C2" s="25"/>
      <x:c r="D2" s="25"/>
      <x:c r="E2" s="25"/>
      <x:c r="F2" s="25"/>
    </x:row>
    <x:row r="3" ht="28" customHeight="1">
      <x:c r="A3" s="26" t="str">
        <x:v>Public documentation and direct links to the lab's source evidence.</x:v>
      </x:c>
      <x:c r="B3" s="26"/>
      <x:c r="C3" s="26"/>
      <x:c r="D3" s="26"/>
      <x:c r="E3" s="26"/>
      <x:c r="F3" s="26"/>
    </x:row>
    <x:row r="4">
      <x:c r="A4" s="12"/>
      <x:c r="B4" s="12"/>
      <x:c r="C4" s="12"/>
      <x:c r="D4" s="12"/>
      <x:c r="E4" s="12"/>
      <x:c r="F4" s="12"/>
    </x:row>
    <x:row r="5">
      <x:c r="A5" s="28" t="str">
        <x:v>Reference</x:v>
      </x:c>
      <x:c r="B5" s="28" t="str">
        <x:v>Purpose</x:v>
      </x:c>
      <x:c r="C5" s="28" t="str">
        <x:v>URL</x:v>
      </x:c>
      <x:c r="D5" s="12"/>
      <x:c r="E5" s="12"/>
      <x:c r="F5" s="12"/>
    </x:row>
    <x:row r="6" ht="40" customHeight="1">
      <x:c r="A6" s="12" t="str">
        <x:v>Microsoft Event 4624</x:v>
      </x:c>
      <x:c r="B6" s="12" t="str">
        <x:v>Successful logon field definitions</x:v>
      </x:c>
      <x:c r="C6" s="12" t="str">
        <x:v>https://learn.microsoft.com/en-us/windows/security/threat-protection/auditing/event-4624</x:v>
      </x:c>
      <x:c r="D6" s="12"/>
      <x:c r="E6" s="12"/>
      <x:c r="F6" s="12"/>
    </x:row>
    <x:row r="7" ht="40" customHeight="1">
      <x:c r="A7" s="12" t="str">
        <x:v>Microsoft Event 4625</x:v>
      </x:c>
      <x:c r="B7" s="12" t="str">
        <x:v>Failed logon field definitions</x:v>
      </x:c>
      <x:c r="C7" s="12" t="str">
        <x:v>https://learn.microsoft.com/en-us/windows/security/threat-protection/auditing/event-4625</x:v>
      </x:c>
      <x:c r="D7" s="12"/>
      <x:c r="E7" s="12"/>
      <x:c r="F7" s="12"/>
    </x:row>
    <x:row r="8" ht="40" customHeight="1">
      <x:c r="A8" s="12" t="str">
        <x:v>Microsoft Event 4672</x:v>
      </x:c>
      <x:c r="B8" s="12" t="str">
        <x:v>Special privileges assigned to a new logon</x:v>
      </x:c>
      <x:c r="C8" s="12" t="str">
        <x:v>https://learn.microsoft.com/en-us/windows/security/threat-protection/auditing/event-4672</x:v>
      </x:c>
      <x:c r="D8" s="12"/>
      <x:c r="E8" s="12"/>
      <x:c r="F8" s="12"/>
    </x:row>
    <x:row r="9" ht="40" customHeight="1">
      <x:c r="A9" s="12" t="str">
        <x:v>MITRE ATT&amp;CK</x:v>
      </x:c>
      <x:c r="B9" s="12" t="str">
        <x:v>Threat technique reference</x:v>
      </x:c>
      <x:c r="C9" s="12" t="str">
        <x:v>https://attack.mitre.org/</x:v>
      </x:c>
      <x:c r="D9" s="12"/>
      <x:c r="E9" s="12"/>
      <x:c r="F9" s="12"/>
    </x:row>
    <x:row r="10" ht="40" customHeight="1">
      <x:c r="A10" s="12" t="str">
        <x:v>Module 01 README</x:v>
      </x:c>
      <x:c r="B10" s="12" t="str">
        <x:v>Main investigation and PowerShell evidence</x:v>
      </x:c>
      <x:c r="C10" s="12" t="str">
        <x:v>https://github.com/alinaama105-coder/Blue-Team-SOC-Cybersecurity-Lab/blob/main/Module-01/README.md</x:v>
      </x:c>
      <x:c r="D10" s="12"/>
      <x:c r="E10" s="12"/>
      <x:c r="F10" s="12"/>
    </x:row>
    <x:row r="11" ht="40" customHeight="1">
      <x:c r="A11" s="12" t="str">
        <x:v>Module 1.2 README</x:v>
      </x:c>
      <x:c r="B11" s="12" t="str">
        <x:v>Privileged logon and eight screenshot walkthrough</x:v>
      </x:c>
      <x:c r="C11" s="12" t="str">
        <x:v>https://github.com/alinaama105-coder/Blue-Team-SOC-Cybersecurity-Lab/blob/main/Module-01/Module-01.2/README.md</x:v>
      </x:c>
      <x:c r="D11" s="12"/>
      <x:c r="E11" s="12"/>
      <x:c r="F11" s="12"/>
    </x:row>
    <x:row r="12">
      <x:c r="A12" s="12" t="str">
        <x:v>Module 1.3 README</x:v>
      </x:c>
      <x:c r="B12" s="12" t="str">
        <x:v>Failed logon PowerShell verification</x:v>
      </x:c>
      <x:c r="C12" s="12" t="str">
        <x:v>https://github.com/alinaama105-coder/Blue-Team-SOC-Cybersecurity-Lab/blob/main/Module-01/Module-01.3/README.md</x:v>
      </x:c>
      <x:c r="D12" s="12"/>
      <x:c r="E12" s="12"/>
      <x:c r="F12" s="12"/>
    </x:row>
    <x:row r="13">
      <x:c r="A13" s="12" t="str">
        <x:v>SOC-001 GitHub report</x:v>
      </x:c>
      <x:c r="B13" s="12" t="str">
        <x:v>Consolidated investigation documentation</x:v>
      </x:c>
      <x:c r="C13" s="12" t="str">
        <x:v>https://github.com/alinaama105-coder/Blue-Team-SOC-Cybersecurity-Lab/blob/main/Module-01/SOC-001-Windows-Security-Event-Investigation/README.md</x:v>
      </x:c>
      <x:c r="D13" s="12"/>
      <x:c r="E13" s="12"/>
      <x:c r="F13" s="12"/>
    </x:row>
    <x:row r="14">
      <x:c r="A14" s="12" t="str">
        <x:v>Microsoft advanced auditing</x:v>
      </x:c>
      <x:c r="B14" s="12" t="str">
        <x:v>Windows audit policy reference</x:v>
      </x:c>
      <x:c r="C14" s="12" t="str">
        <x:v>https://learn.microsoft.com/en-us/windows/security/threat-protection/auditing/advanced-security-audit-policy-settings</x:v>
      </x:c>
      <x:c r="D14" s="12"/>
      <x:c r="E14" s="12"/>
      <x:c r="F14" s="12"/>
    </x:row>
    <x:row r="15">
      <x:c r="A15" s="12"/>
      <x:c r="B15" s="12"/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  <x:row r="17">
      <x:c r="A17" s="12"/>
      <x:c r="B17" s="12"/>
      <x:c r="C17" s="12"/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</x:sheetData>
  <x:mergeCells>
    <x:mergeCell ref="A1:F2"/>
    <x:mergeCell ref="A3:F3"/>
  </x:mergeCells>
  <x:pageMargins left="0.7" right="0.7" top="0.75" bottom="0.75" header="0.3" footer="0.3"/>
</x:worksheet>
</file>